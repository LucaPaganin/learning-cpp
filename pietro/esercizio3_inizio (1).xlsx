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<sst xmlns="http://schemas.openxmlformats.org/spreadsheetml/2006/main" count="21" uniqueCount="21">
  <si>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L</t>
  </si>
  <si>
    <t xml:space="preserve">T</t>
  </si>
  <si>
    <t xml:space="preserve">σL</t>
  </si>
  <si>
    <t xml:space="preserve">σT</t>
  </si>
  <si>
    <t xml:space="preserve">T²</t>
  </si>
  <si>
    <t xml:space="preserve">σT²</t>
  </si>
  <si>
    <t xml:space="preserve">1/σ²(T²)</t>
  </si>
  <si>
    <t xml:space="preserve">L/σ²(T²)</t>
  </si>
  <si>
    <t xml:space="preserve">T²/σ²(T²)</t>
  </si>
  <si>
    <t xml:space="preserve">L²/σ²(T²)</t>
  </si>
  <si>
    <t xml:space="preserve">L*T²/σ²(T²)</t>
  </si>
  <si>
    <t xml:space="preserve">tot, Misure</t>
  </si>
  <si>
    <t xml:space="preserve">S0</t>
  </si>
  <si>
    <t xml:space="preserve">Sx</t>
  </si>
  <si>
    <t xml:space="preserve">Sy</t>
  </si>
  <si>
    <t xml:space="preserve">Sxx</t>
  </si>
  <si>
    <t xml:space="preserve">Sxy</t>
  </si>
  <si>
    <t xml:space="preserve">m</t>
  </si>
  <si>
    <t xml:space="preserve">q</t>
  </si>
  <si>
    <t xml:space="preserve">σ²m</t>
  </si>
  <si>
    <t xml:space="preserve">σ²q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</si>
</sst>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.00"/>
    <numFmt numFmtId="167" formatCode="0.0000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1"/>
      <name val="Arial"/>
      <family val="2"/>
      <charset val="1"/>
    </font>
    <font>
      <b val="true"/>
      <sz val="14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515625" defaultRowHeight="12.75" zeroHeight="false" outlineLevelRow="0" outlineLevelCol="0"/>
  <cols>
    <col collapsed="false" customWidth="true" hidden="false" outlineLevel="0" max="1" min="1" style="1" width="11.84"/>
    <col collapsed="false" customWidth="true" hidden="false" outlineLevel="0" max="2" min="2" style="2" width="10.5"/>
    <col collapsed="false" customWidth="true" hidden="false" outlineLevel="0" max="3" min="3" style="1" width="10.84"/>
    <col collapsed="false" customWidth="true" hidden="false" outlineLevel="0" max="4" min="4" style="1" width="10"/>
    <col collapsed="false" customWidth="true" hidden="false" outlineLevel="0" max="6" min="5" style="1" width="12.66"/>
    <col collapsed="false" customWidth="false" hidden="false" outlineLevel="0" max="7" min="7" style="1" width="11.5"/>
    <col collapsed="false" customWidth="true" hidden="false" outlineLevel="0" max="8" min="8" style="1" width="14.5"/>
    <col collapsed="false" customWidth="true" hidden="false" outlineLevel="0" max="9" min="9" style="1" width="13.33"/>
    <col collapsed="false" customWidth="true" hidden="false" outlineLevel="0" max="10" min="10" style="1" width="14.5"/>
    <col collapsed="false" customWidth="true" hidden="false" outlineLevel="0" max="11" min="11" style="1" width="13.33"/>
    <col collapsed="false" customWidth="true" hidden="false" outlineLevel="0" max="12" min="12" style="1" width="13.66"/>
    <col collapsed="false" customWidth="false" hidden="false" outlineLevel="0" max="1024" min="13" style="1" width="11.5"/>
  </cols>
  <sheetData>
    <row r="1" s="3" customFormat="true" ht="15.75" hidden="false" customHeight="fals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="6" customFormat="true" ht="13.5" hidden="false" customHeight="false" outlineLevel="0" collapsed="false">
      <c r="A2" s="5" t="n">
        <v>0.1</v>
      </c>
      <c r="B2" s="5" t="n">
        <v>0.626897</v>
      </c>
      <c r="C2" s="5" t="n">
        <v>0.0001</v>
      </c>
      <c r="D2" s="5" t="n">
        <v>0.0119637</v>
      </c>
      <c r="E2" s="5"/>
      <c r="F2" s="5"/>
      <c r="H2" s="5" t="e">
        <f aca="false">1/(F2^2)</f>
        <v>#DIV/0!</v>
      </c>
      <c r="I2" s="5" t="e">
        <f aca="false">A2/(F2^2)</f>
        <v>#DIV/0!</v>
      </c>
      <c r="J2" s="5" t="e">
        <f aca="false">E2/(F2^2)</f>
        <v>#DIV/0!</v>
      </c>
      <c r="K2" s="5" t="e">
        <f aca="false">(A2^2)/(F2^2)</f>
        <v>#DIV/0!</v>
      </c>
      <c r="L2" s="5" t="e">
        <f aca="false">(A2*E2)/(F2^2)</f>
        <v>#DIV/0!</v>
      </c>
    </row>
    <row r="3" s="6" customFormat="true" ht="13.5" hidden="false" customHeight="false" outlineLevel="0" collapsed="false">
      <c r="A3" s="5" t="n">
        <v>0.15</v>
      </c>
      <c r="B3" s="5" t="n">
        <v>0.779744</v>
      </c>
      <c r="C3" s="5" t="n">
        <v>0.0001</v>
      </c>
      <c r="D3" s="5" t="n">
        <v>0.00897731</v>
      </c>
      <c r="E3" s="5"/>
      <c r="F3" s="5"/>
      <c r="H3" s="5"/>
      <c r="I3" s="5"/>
      <c r="J3" s="5"/>
      <c r="K3" s="5"/>
      <c r="L3" s="5"/>
    </row>
    <row r="4" s="6" customFormat="true" ht="13.5" hidden="false" customHeight="false" outlineLevel="0" collapsed="false">
      <c r="A4" s="5" t="n">
        <v>0.2</v>
      </c>
      <c r="B4" s="5" t="n">
        <v>0.9</v>
      </c>
      <c r="C4" s="5" t="n">
        <v>0.0001</v>
      </c>
      <c r="D4" s="5" t="n">
        <v>0.0111111</v>
      </c>
      <c r="E4" s="5"/>
      <c r="F4" s="5"/>
      <c r="H4" s="5"/>
      <c r="I4" s="5"/>
      <c r="J4" s="5"/>
      <c r="K4" s="5"/>
      <c r="L4" s="5"/>
    </row>
    <row r="5" s="6" customFormat="true" ht="13.5" hidden="false" customHeight="false" outlineLevel="0" collapsed="false">
      <c r="A5" s="5" t="n">
        <v>0.25</v>
      </c>
      <c r="B5" s="5" t="n">
        <v>1.00399</v>
      </c>
      <c r="C5" s="5" t="n">
        <v>0.0001</v>
      </c>
      <c r="D5" s="5" t="n">
        <v>0.00896421</v>
      </c>
      <c r="E5" s="5"/>
      <c r="F5" s="5"/>
      <c r="H5" s="5"/>
      <c r="I5" s="5"/>
      <c r="J5" s="5"/>
      <c r="K5" s="5"/>
      <c r="L5" s="5"/>
    </row>
    <row r="6" s="6" customFormat="true" ht="13.5" hidden="false" customHeight="false" outlineLevel="0" collapsed="false">
      <c r="A6" s="5" t="n">
        <v>0.3</v>
      </c>
      <c r="B6" s="5" t="n">
        <v>1.09499</v>
      </c>
      <c r="C6" s="5" t="n">
        <v>0.0001</v>
      </c>
      <c r="D6" s="5" t="n">
        <v>0.00913252</v>
      </c>
      <c r="E6" s="5"/>
      <c r="F6" s="5"/>
      <c r="H6" s="5"/>
      <c r="I6" s="5"/>
      <c r="J6" s="5"/>
      <c r="K6" s="5"/>
      <c r="L6" s="5"/>
    </row>
    <row r="7" s="6" customFormat="true" ht="13.5" hidden="false" customHeight="false" outlineLevel="0" collapsed="false">
      <c r="A7" s="5"/>
      <c r="B7" s="5"/>
      <c r="C7" s="5"/>
      <c r="D7" s="5"/>
      <c r="E7" s="5"/>
      <c r="F7" s="5"/>
      <c r="H7" s="5"/>
      <c r="I7" s="5"/>
      <c r="J7" s="5"/>
      <c r="K7" s="5"/>
      <c r="L7" s="5"/>
    </row>
    <row r="8" s="6" customFormat="true" ht="13.5" hidden="false" customHeight="false" outlineLevel="0" collapsed="false">
      <c r="A8" s="0"/>
      <c r="B8" s="0"/>
      <c r="C8" s="0"/>
      <c r="D8" s="0"/>
      <c r="E8" s="5"/>
      <c r="F8" s="5"/>
      <c r="H8" s="5"/>
      <c r="I8" s="5"/>
      <c r="J8" s="5"/>
      <c r="K8" s="5"/>
      <c r="L8" s="5"/>
    </row>
    <row r="9" s="6" customFormat="true" ht="13.5" hidden="false" customHeight="false" outlineLevel="0" collapsed="false">
      <c r="A9" s="5"/>
      <c r="B9" s="5"/>
      <c r="C9" s="5"/>
      <c r="D9" s="5"/>
      <c r="E9" s="5"/>
      <c r="F9" s="5"/>
      <c r="H9" s="5"/>
      <c r="I9" s="5"/>
      <c r="J9" s="5"/>
      <c r="K9" s="5"/>
      <c r="L9" s="5"/>
    </row>
    <row r="14" s="7" customFormat="true" ht="18" hidden="false" customHeight="false" outlineLevel="0" collapsed="false">
      <c r="A14" s="7" t="s">
        <v>11</v>
      </c>
      <c r="B14" s="8" t="n">
        <f aca="false">COUNTIF(A2:A13,"&gt;0")</f>
        <v>5</v>
      </c>
      <c r="H14" s="7" t="s">
        <v>12</v>
      </c>
      <c r="I14" s="7" t="s">
        <v>13</v>
      </c>
      <c r="J14" s="7" t="s">
        <v>14</v>
      </c>
      <c r="K14" s="7" t="s">
        <v>15</v>
      </c>
      <c r="L14" s="7" t="s">
        <v>16</v>
      </c>
    </row>
    <row r="15" customFormat="false" ht="15.75" hidden="false" customHeight="false" outlineLevel="0" collapsed="false">
      <c r="H15" s="9" t="e">
        <f aca="false">SUM(H2:H13)</f>
        <v>#DIV/0!</v>
      </c>
      <c r="I15" s="9" t="e">
        <f aca="false">SUM(I2:I13)</f>
        <v>#DIV/0!</v>
      </c>
      <c r="J15" s="9" t="e">
        <f aca="false">SUM(J2:J13)</f>
        <v>#DIV/0!</v>
      </c>
      <c r="K15" s="9" t="e">
        <f aca="false">SUM(K2:K13)</f>
        <v>#DIV/0!</v>
      </c>
      <c r="L15" s="9" t="e">
        <f aca="false">SUM(L2:L13)</f>
        <v>#DIV/0!</v>
      </c>
    </row>
    <row r="16" s="7" customFormat="true" ht="18" hidden="false" customHeight="false" outlineLevel="0" collapsed="false">
      <c r="A16" s="7" t="s">
        <v>17</v>
      </c>
      <c r="B16" s="10" t="s">
        <v>18</v>
      </c>
      <c r="C16" s="7" t="s">
        <v>19</v>
      </c>
      <c r="D16" s="7" t="s">
        <v>20</v>
      </c>
    </row>
    <row r="17" s="11" customFormat="true" ht="15.75" hidden="false" customHeight="false" outlineLevel="0" collapsed="false">
      <c r="A17" s="9" t="e">
        <f aca="false">(L15*H15-I15*J15)/(K15*H15-I15*I15)</f>
        <v>#DIV/0!</v>
      </c>
      <c r="B17" s="9" t="e">
        <f aca="false">(J15*K15-I15*L15)/(K15*H15-I15*I15)</f>
        <v>#DIV/0!</v>
      </c>
      <c r="C17" s="9" t="e">
        <f aca="false">SQRT(H15/(K15*H15-I15*I15))</f>
        <v>#DIV/0!</v>
      </c>
      <c r="D17" s="9" t="e">
        <f aca="false">SQRT(K15/(K15*H15-I15*I15))</f>
        <v>#DIV/0!</v>
      </c>
    </row>
    <row r="18" customFormat="false" ht="15.75" hidden="false" customHeight="false" outlineLevel="0" collapsed="false">
      <c r="C18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2022-11-02T11:27:52Z</dcterms:created>
  <dc:creator/>
  <dc:description/>
  <dc:language>it-IT</dc:language>
  <cp:lastModifiedBy/>
  <dcterms:modified xsi:type="dcterms:W3CDTF">2024-10-30T13:55:36Z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